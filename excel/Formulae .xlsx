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9936b0cce8635/5.1. DA/"/>
    </mc:Choice>
  </mc:AlternateContent>
  <xr:revisionPtr revIDLastSave="9" documentId="13_ncr:1_{D1DD0E12-027B-433E-953C-6EBF17591395}" xr6:coauthVersionLast="47" xr6:coauthVersionMax="47" xr10:uidLastSave="{184296EC-B8A2-4B29-9A50-4D0704846389}"/>
  <bookViews>
    <workbookView xWindow="-110" yWindow="-110" windowWidth="19420" windowHeight="10300" activeTab="3" xr2:uid="{F0CCF002-AD1F-4679-8CA2-264B0E4AC01D}"/>
  </bookViews>
  <sheets>
    <sheet name="Sheet5" sheetId="5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C18" i="2"/>
  <c r="G19" i="2"/>
  <c r="C30" i="3" a="1"/>
  <c r="C30" i="3"/>
  <c r="B12" i="1"/>
  <c r="C6" i="1"/>
  <c r="E40" i="3"/>
  <c r="D18" i="3"/>
  <c r="B21" i="3"/>
  <c r="B20" i="3"/>
  <c r="B13" i="3"/>
  <c r="C12" i="2"/>
  <c r="D8" i="2"/>
  <c r="B4" i="2"/>
  <c r="B13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<sst xmlns="http://schemas.openxmlformats.org/spreadsheetml/2006/main" count="136" uniqueCount="83">
  <si>
    <t xml:space="preserve">Product </t>
  </si>
  <si>
    <t>A</t>
  </si>
  <si>
    <t>B</t>
  </si>
  <si>
    <t>C</t>
  </si>
  <si>
    <t xml:space="preserve">Price per unit </t>
  </si>
  <si>
    <t xml:space="preserve">Units Sold </t>
  </si>
  <si>
    <t>Sales for Product A</t>
  </si>
  <si>
    <t xml:space="preserve">Total Sale of all products </t>
  </si>
  <si>
    <t>year</t>
  </si>
  <si>
    <t>Growth factor</t>
  </si>
  <si>
    <t xml:space="preserve">Compound growth </t>
  </si>
  <si>
    <t>Salaes rep</t>
  </si>
  <si>
    <t>John</t>
  </si>
  <si>
    <t>Borb</t>
  </si>
  <si>
    <t>Sales</t>
  </si>
  <si>
    <t xml:space="preserve">Commission </t>
  </si>
  <si>
    <t xml:space="preserve">Period </t>
  </si>
  <si>
    <t xml:space="preserve">Revenue </t>
  </si>
  <si>
    <t xml:space="preserve">Cost </t>
  </si>
  <si>
    <t>Prifit /Loss</t>
  </si>
  <si>
    <t>Q1</t>
  </si>
  <si>
    <t>Q2</t>
  </si>
  <si>
    <t>Sales Rep</t>
  </si>
  <si>
    <t xml:space="preserve">john </t>
  </si>
  <si>
    <t>barb</t>
  </si>
  <si>
    <t>mark</t>
  </si>
  <si>
    <t xml:space="preserve">Categorizing salaes performance </t>
  </si>
  <si>
    <t>MEDIAN</t>
  </si>
  <si>
    <t xml:space="preserve">Region </t>
  </si>
  <si>
    <t xml:space="preserve">east </t>
  </si>
  <si>
    <t xml:space="preserve">west </t>
  </si>
  <si>
    <t xml:space="preserve">south </t>
  </si>
  <si>
    <t xml:space="preserve">Sales </t>
  </si>
  <si>
    <t>North</t>
  </si>
  <si>
    <t>SUMIF</t>
  </si>
  <si>
    <t>Manager</t>
  </si>
  <si>
    <t>Alice</t>
  </si>
  <si>
    <t>Bob</t>
  </si>
  <si>
    <t>Developer</t>
  </si>
  <si>
    <t>Carol</t>
  </si>
  <si>
    <t>Analyst</t>
  </si>
  <si>
    <t>VLOOKUP</t>
  </si>
  <si>
    <t>Product ID</t>
  </si>
  <si>
    <t xml:space="preserve">Product Name </t>
  </si>
  <si>
    <t xml:space="preserve">Smart phone </t>
  </si>
  <si>
    <t xml:space="preserve">Watch </t>
  </si>
  <si>
    <t>TV</t>
  </si>
  <si>
    <t>AC</t>
  </si>
  <si>
    <t>Prodct ID</t>
  </si>
  <si>
    <t>Product Sales($)</t>
  </si>
  <si>
    <t xml:space="preserve">Price </t>
  </si>
  <si>
    <t xml:space="preserve">MATCH Funtion </t>
  </si>
  <si>
    <t xml:space="preserve">VLOOKUP Funtion </t>
  </si>
  <si>
    <t xml:space="preserve">Returns the Position of the lookup value </t>
  </si>
  <si>
    <t xml:space="preserve">MATCH with INDEX funtion </t>
  </si>
  <si>
    <t xml:space="preserve">returns the price of the product </t>
  </si>
  <si>
    <t>Stock</t>
  </si>
  <si>
    <t xml:space="preserve">Return Column(Stock)Position </t>
  </si>
  <si>
    <t>Laptop</t>
  </si>
  <si>
    <t>Smartphone</t>
  </si>
  <si>
    <t>South</t>
  </si>
  <si>
    <t>Tablet</t>
  </si>
  <si>
    <t>East</t>
  </si>
  <si>
    <t>West</t>
  </si>
  <si>
    <t>Region</t>
  </si>
  <si>
    <t xml:space="preserve">MATCH funtion </t>
  </si>
  <si>
    <t xml:space="preserve">return Row of 4 which is region of Laptop </t>
  </si>
  <si>
    <t>Product</t>
  </si>
  <si>
    <t>Monitor</t>
  </si>
  <si>
    <t xml:space="preserve">Smart phone in East Region </t>
  </si>
  <si>
    <t>Date</t>
  </si>
  <si>
    <t>Salesperson</t>
  </si>
  <si>
    <t>Units Sold</t>
  </si>
  <si>
    <t>Unit Price ($)</t>
  </si>
  <si>
    <t>Total Sales ($)</t>
  </si>
  <si>
    <t>John Smith</t>
  </si>
  <si>
    <t>Emily Davis</t>
  </si>
  <si>
    <t>Michael Brown</t>
  </si>
  <si>
    <t>Sarah Wilson</t>
  </si>
  <si>
    <t>Order ID</t>
  </si>
  <si>
    <t>Category</t>
  </si>
  <si>
    <t>Discount (%)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</si>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</sst>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/>
    <xf numFmtId="0" fontId="0" fillId="0" borderId="0" xfId="0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6" borderId="0" xfId="0" applyFill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1" xfId="0" applyFill="1" applyBorder="1" applyAlignment="1">
      <alignment horizontal="left"/>
    </xf>
    <xf numFmtId="3" fontId="0" fillId="0" borderId="0" xfId="0" applyNumberFormat="1" applyAlignment="1">
      <alignment vertical="center" wrapText="1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10" borderId="1" xfId="0" applyFill="1" applyBorder="1" applyAlignment="1">
      <alignment vertical="center" wrapText="1"/>
    </xf>
    <xf numFmtId="3" fontId="0" fillId="10" borderId="1" xfId="0" applyNumberForma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3" fontId="0" fillId="11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0" fillId="7" borderId="1" xfId="0" applyFill="1" applyBorder="1" applyAlignment="1">
      <alignment horizontal="left" vertical="center" wrapText="1"/>
    </xf>
    <xf numFmtId="14" fontId="0" fillId="7" borderId="1" xfId="0" applyNumberFormat="1" applyFill="1" applyBorder="1" applyAlignment="1">
      <alignment horizontal="left" vertical="center" wrapText="1"/>
    </xf>
    <xf numFmtId="3" fontId="0" fillId="7" borderId="1" xfId="0" applyNumberFormat="1" applyFill="1" applyBorder="1" applyAlignment="1">
      <alignment horizontal="left" vertical="center" wrapText="1"/>
    </xf>
    <xf numFmtId="9" fontId="0" fillId="7" borderId="1" xfId="0" applyNumberForma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3" fontId="0" fillId="7" borderId="3" xfId="0" applyNumberForma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14" fontId="0" fillId="7" borderId="8" xfId="0" applyNumberFormat="1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9" fontId="0" fillId="7" borderId="8" xfId="0" applyNumberFormat="1" applyFill="1" applyBorder="1" applyAlignment="1">
      <alignment horizontal="left" vertical="center" wrapText="1"/>
    </xf>
    <xf numFmtId="3" fontId="0" fillId="7" borderId="9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15">
    <dxf>
      <numFmt numFmtId="3" formatCode="#,##0"/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4C37D-5D4A-4265-9436-F1AF876DE9E6}" name="Sales" displayName="Sales" ref="A1:J10" totalsRowShown="0" headerRowDxfId="14" dataDxfId="12" headerRowBorderDxfId="13" tableBorderDxfId="11" totalsRowBorderDxfId="10">
  <autoFilter ref="A1:J10" xr:uid="{2F14C37D-5D4A-4265-9436-F1AF876DE9E6}"/>
  <tableColumns count="10">
    <tableColumn id="1" xr3:uid="{836825EC-F6F9-448D-B7E0-F7551A8248AC}" name="Order ID" dataDxfId="9"/>
    <tableColumn id="2" xr3:uid="{723EF95F-8B77-49EA-93AB-25637969F469}" name="Date" dataDxfId="8"/>
    <tableColumn id="3" xr3:uid="{D6DA5BF1-5FF3-4B5E-8D38-3650BE24CC56}" name="Product" dataDxfId="7"/>
    <tableColumn id="4" xr3:uid="{B3F5377E-880B-4453-B84F-C3DA7D51BA33}" name="Category" dataDxfId="6"/>
    <tableColumn id="5" xr3:uid="{3ECC5F99-A6F4-4FA9-9BB9-927FF4F5BCBD}" name="Region" dataDxfId="5"/>
    <tableColumn id="6" xr3:uid="{0294D9E8-4DD4-4365-8065-FA24244D155D}" name="Salesperson" dataDxfId="4"/>
    <tableColumn id="7" xr3:uid="{4EC2969A-83E1-4FDD-8ECC-0846C1388430}" name="Units Sold" dataDxfId="3"/>
    <tableColumn id="8" xr3:uid="{FA2BC9D5-2C09-4322-842C-6B4324F3028E}" name="Unit Price ($)" dataDxfId="2"/>
    <tableColumn id="9" xr3:uid="{1146FE32-5282-4C1B-8572-BFCB9312352B}" name="Discount (%)" dataDxfId="1"/>
    <tableColumn id="10" xr3:uid="{24D5B03D-4342-40E6-B206-8F7726B6F3A8}" name="Total Sales ($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5357-D8B4-4D69-B61D-591DAEC9405A}">
  <dimension ref="A1:J10"/>
  <sheetViews>
    <sheetView workbookViewId="0">
      <selection activeCell="E15" sqref="E15"/>
    </sheetView>
  </sheetViews>
  <sheetFormatPr defaultRowHeight="14.5" x14ac:dyDescent="0.35"/>
  <cols>
    <col min="1" max="1" width="10" style="9" customWidth="1"/>
    <col min="2" max="2" width="13.26953125" style="9" customWidth="1"/>
    <col min="3" max="3" width="15.453125" style="9" customWidth="1"/>
    <col min="4" max="4" width="14.81640625" style="9" customWidth="1"/>
    <col min="5" max="5" width="13.1796875" style="9" customWidth="1"/>
    <col min="6" max="6" width="13.90625" style="9" customWidth="1"/>
    <col min="7" max="7" width="13.26953125" style="9" customWidth="1"/>
    <col min="8" max="8" width="13.6328125" style="9" customWidth="1"/>
    <col min="9" max="9" width="13.36328125" style="9" customWidth="1"/>
    <col min="10" max="10" width="14.453125" style="9" customWidth="1"/>
  </cols>
  <sheetData>
    <row r="1" spans="1:10" ht="29" x14ac:dyDescent="0.35">
      <c r="A1" s="34" t="s">
        <v>79</v>
      </c>
      <c r="B1" s="35" t="s">
        <v>70</v>
      </c>
      <c r="C1" s="35" t="s">
        <v>67</v>
      </c>
      <c r="D1" s="35" t="s">
        <v>80</v>
      </c>
      <c r="E1" s="35" t="s">
        <v>64</v>
      </c>
      <c r="F1" s="35" t="s">
        <v>71</v>
      </c>
      <c r="G1" s="35" t="s">
        <v>72</v>
      </c>
      <c r="H1" s="35" t="s">
        <v>73</v>
      </c>
      <c r="I1" s="35" t="s">
        <v>81</v>
      </c>
      <c r="J1" s="36" t="s">
        <v>74</v>
      </c>
    </row>
    <row r="2" spans="1:10" x14ac:dyDescent="0.35">
      <c r="A2" s="32">
        <v>1001</v>
      </c>
      <c r="B2" s="29">
        <v>45292</v>
      </c>
      <c r="C2" s="28" t="s">
        <v>58</v>
      </c>
      <c r="D2" s="28" t="s">
        <v>82</v>
      </c>
      <c r="E2" s="28" t="s">
        <v>33</v>
      </c>
      <c r="F2" s="28" t="s">
        <v>75</v>
      </c>
      <c r="G2" s="28">
        <v>10</v>
      </c>
      <c r="H2" s="30">
        <v>1200</v>
      </c>
      <c r="I2" s="31">
        <v>0.05</v>
      </c>
      <c r="J2" s="33">
        <v>11400</v>
      </c>
    </row>
    <row r="3" spans="1:10" x14ac:dyDescent="0.35">
      <c r="A3" s="32">
        <v>1002</v>
      </c>
      <c r="B3" s="29">
        <v>45323</v>
      </c>
      <c r="C3" s="28" t="s">
        <v>59</v>
      </c>
      <c r="D3" s="28" t="s">
        <v>82</v>
      </c>
      <c r="E3" s="28" t="s">
        <v>60</v>
      </c>
      <c r="F3" s="28" t="s">
        <v>76</v>
      </c>
      <c r="G3" s="28">
        <v>15</v>
      </c>
      <c r="H3" s="28">
        <v>800</v>
      </c>
      <c r="I3" s="31">
        <v>0</v>
      </c>
      <c r="J3" s="33">
        <v>12000</v>
      </c>
    </row>
    <row r="4" spans="1:10" x14ac:dyDescent="0.35">
      <c r="A4" s="32">
        <v>1003</v>
      </c>
      <c r="B4" s="29">
        <v>45352</v>
      </c>
      <c r="C4" s="28" t="s">
        <v>61</v>
      </c>
      <c r="D4" s="28" t="s">
        <v>82</v>
      </c>
      <c r="E4" s="28" t="s">
        <v>62</v>
      </c>
      <c r="F4" s="28" t="s">
        <v>77</v>
      </c>
      <c r="G4" s="28">
        <v>8</v>
      </c>
      <c r="H4" s="28">
        <v>500</v>
      </c>
      <c r="I4" s="31">
        <v>0.1</v>
      </c>
      <c r="J4" s="33">
        <v>3600</v>
      </c>
    </row>
    <row r="5" spans="1:10" x14ac:dyDescent="0.35">
      <c r="A5" s="32">
        <v>1004</v>
      </c>
      <c r="B5" s="29">
        <v>45352</v>
      </c>
      <c r="C5" s="28" t="s">
        <v>58</v>
      </c>
      <c r="D5" s="28" t="s">
        <v>82</v>
      </c>
      <c r="E5" s="28" t="s">
        <v>63</v>
      </c>
      <c r="F5" s="28" t="s">
        <v>78</v>
      </c>
      <c r="G5" s="28">
        <v>5</v>
      </c>
      <c r="H5" s="30">
        <v>1200</v>
      </c>
      <c r="I5" s="31">
        <v>0</v>
      </c>
      <c r="J5" s="33">
        <v>6000</v>
      </c>
    </row>
    <row r="6" spans="1:10" x14ac:dyDescent="0.35">
      <c r="A6" s="32">
        <v>1005</v>
      </c>
      <c r="B6" s="29">
        <v>45383</v>
      </c>
      <c r="C6" s="28" t="s">
        <v>68</v>
      </c>
      <c r="D6" s="28" t="s">
        <v>82</v>
      </c>
      <c r="E6" s="28" t="s">
        <v>33</v>
      </c>
      <c r="F6" s="28" t="s">
        <v>75</v>
      </c>
      <c r="G6" s="28">
        <v>12</v>
      </c>
      <c r="H6" s="28">
        <v>300</v>
      </c>
      <c r="I6" s="31">
        <v>0.05</v>
      </c>
      <c r="J6" s="33">
        <v>3420</v>
      </c>
    </row>
    <row r="7" spans="1:10" x14ac:dyDescent="0.35">
      <c r="A7" s="32">
        <v>1006</v>
      </c>
      <c r="B7" s="29">
        <v>45383</v>
      </c>
      <c r="C7" s="28" t="s">
        <v>59</v>
      </c>
      <c r="D7" s="28" t="s">
        <v>82</v>
      </c>
      <c r="E7" s="28" t="s">
        <v>60</v>
      </c>
      <c r="F7" s="28" t="s">
        <v>76</v>
      </c>
      <c r="G7" s="28">
        <v>20</v>
      </c>
      <c r="H7" s="28">
        <v>800</v>
      </c>
      <c r="I7" s="31">
        <v>0</v>
      </c>
      <c r="J7" s="33">
        <v>16000</v>
      </c>
    </row>
    <row r="8" spans="1:10" x14ac:dyDescent="0.35">
      <c r="A8" s="32">
        <v>1007</v>
      </c>
      <c r="B8" s="29">
        <v>45413</v>
      </c>
      <c r="C8" s="28" t="s">
        <v>61</v>
      </c>
      <c r="D8" s="28" t="s">
        <v>82</v>
      </c>
      <c r="E8" s="28" t="s">
        <v>33</v>
      </c>
      <c r="F8" s="28" t="s">
        <v>75</v>
      </c>
      <c r="G8" s="28">
        <v>10</v>
      </c>
      <c r="H8" s="28">
        <v>500</v>
      </c>
      <c r="I8" s="31">
        <v>0.1</v>
      </c>
      <c r="J8" s="33">
        <v>4500</v>
      </c>
    </row>
    <row r="9" spans="1:10" x14ac:dyDescent="0.35">
      <c r="A9" s="32">
        <v>1008</v>
      </c>
      <c r="B9" s="29">
        <v>45444</v>
      </c>
      <c r="C9" s="28" t="s">
        <v>58</v>
      </c>
      <c r="D9" s="28" t="s">
        <v>82</v>
      </c>
      <c r="E9" s="28" t="s">
        <v>62</v>
      </c>
      <c r="F9" s="28" t="s">
        <v>77</v>
      </c>
      <c r="G9" s="28">
        <v>7</v>
      </c>
      <c r="H9" s="30">
        <v>1200</v>
      </c>
      <c r="I9" s="31">
        <v>0.05</v>
      </c>
      <c r="J9" s="33">
        <v>7980</v>
      </c>
    </row>
    <row r="10" spans="1:10" x14ac:dyDescent="0.35">
      <c r="A10" s="37">
        <v>1009</v>
      </c>
      <c r="B10" s="38">
        <v>45444</v>
      </c>
      <c r="C10" s="39" t="s">
        <v>68</v>
      </c>
      <c r="D10" s="39" t="s">
        <v>82</v>
      </c>
      <c r="E10" s="39" t="s">
        <v>60</v>
      </c>
      <c r="F10" s="39" t="s">
        <v>78</v>
      </c>
      <c r="G10" s="39">
        <v>9</v>
      </c>
      <c r="H10" s="39">
        <v>300</v>
      </c>
      <c r="I10" s="40">
        <v>0</v>
      </c>
      <c r="J10" s="41">
        <v>2700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254D-1792-41DB-89DB-0CD48669CAE3}">
  <dimension ref="A1:D13"/>
  <sheetViews>
    <sheetView workbookViewId="0">
      <selection activeCell="D14" sqref="D14"/>
    </sheetView>
  </sheetViews>
  <sheetFormatPr defaultRowHeight="14.5" x14ac:dyDescent="0.35"/>
  <cols>
    <col min="2" max="2" width="14.54296875" customWidth="1"/>
    <col min="3" max="3" width="13.90625" customWidth="1"/>
    <col min="4" max="4" width="21" customWidth="1"/>
  </cols>
  <sheetData>
    <row r="1" spans="1:4" x14ac:dyDescent="0.35">
      <c r="A1" t="s">
        <v>0</v>
      </c>
      <c r="B1" t="s">
        <v>4</v>
      </c>
      <c r="C1" t="s">
        <v>5</v>
      </c>
    </row>
    <row r="2" spans="1:4" x14ac:dyDescent="0.35">
      <c r="A2" t="s">
        <v>1</v>
      </c>
      <c r="B2">
        <v>10</v>
      </c>
      <c r="C2">
        <v>500</v>
      </c>
    </row>
    <row r="3" spans="1:4" x14ac:dyDescent="0.35">
      <c r="A3" t="s">
        <v>2</v>
      </c>
      <c r="B3">
        <v>15</v>
      </c>
      <c r="C3">
        <v>200</v>
      </c>
    </row>
    <row r="4" spans="1:4" x14ac:dyDescent="0.35">
      <c r="A4" t="s">
        <v>3</v>
      </c>
      <c r="B4">
        <v>20</v>
      </c>
      <c r="C4">
        <v>300</v>
      </c>
    </row>
    <row r="5" spans="1:4" x14ac:dyDescent="0.35">
      <c r="C5" s="2">
        <f>PRODUCT(B2, C2)</f>
        <v>5000</v>
      </c>
      <c r="D5" s="1" t="s">
        <v>6</v>
      </c>
    </row>
    <row r="6" spans="1:4" x14ac:dyDescent="0.35">
      <c r="C6" s="2">
        <f>PRODUCT(B2*C2 +B3*C3 +B4*C4)</f>
        <v>14000</v>
      </c>
      <c r="D6" s="1" t="s">
        <v>7</v>
      </c>
    </row>
    <row r="8" spans="1:4" x14ac:dyDescent="0.35">
      <c r="A8" t="s">
        <v>8</v>
      </c>
      <c r="B8" t="s">
        <v>9</v>
      </c>
    </row>
    <row r="9" spans="1:4" x14ac:dyDescent="0.35">
      <c r="A9">
        <v>1</v>
      </c>
      <c r="B9">
        <v>1.05</v>
      </c>
    </row>
    <row r="10" spans="1:4" x14ac:dyDescent="0.35">
      <c r="A10">
        <v>2</v>
      </c>
      <c r="B10">
        <v>1.05</v>
      </c>
    </row>
    <row r="11" spans="1:4" x14ac:dyDescent="0.35">
      <c r="A11">
        <v>3</v>
      </c>
      <c r="B11">
        <v>1.05</v>
      </c>
    </row>
    <row r="12" spans="1:4" x14ac:dyDescent="0.35">
      <c r="B12" s="2">
        <f>PRODUCT(B9:B11)</f>
        <v>1.1576250000000001</v>
      </c>
      <c r="C12" s="1" t="s">
        <v>10</v>
      </c>
    </row>
    <row r="13" spans="1:4" x14ac:dyDescent="0.35">
      <c r="B13">
        <f>1000 * PRODUCT(B9:B11)</f>
        <v>1157.6250000000002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BCD9-8D63-43A8-B4B3-8CCBEDD0717D}">
  <dimension ref="A1:H27"/>
  <sheetViews>
    <sheetView topLeftCell="A10" workbookViewId="0">
      <selection activeCell="K22" sqref="K22"/>
    </sheetView>
  </sheetViews>
  <sheetFormatPr defaultRowHeight="14.5" x14ac:dyDescent="0.35"/>
  <cols>
    <col min="1" max="1" width="10.6328125" customWidth="1"/>
    <col min="4" max="4" width="14.26953125" customWidth="1"/>
    <col min="5" max="5" width="4" customWidth="1"/>
    <col min="7" max="7" width="23.7265625" customWidth="1"/>
    <col min="8" max="8" width="24.6328125" customWidth="1"/>
  </cols>
  <sheetData>
    <row r="1" spans="1:8" x14ac:dyDescent="0.35">
      <c r="A1" s="3" t="s">
        <v>11</v>
      </c>
      <c r="B1" s="3" t="s">
        <v>14</v>
      </c>
      <c r="C1" s="4" t="s">
        <v>15</v>
      </c>
      <c r="D1" s="3"/>
      <c r="E1" s="5"/>
      <c r="F1" s="5"/>
      <c r="G1" s="5"/>
      <c r="H1" s="5"/>
    </row>
    <row r="2" spans="1:8" x14ac:dyDescent="0.35">
      <c r="A2" s="3" t="s">
        <v>12</v>
      </c>
      <c r="B2" s="3">
        <v>12000</v>
      </c>
      <c r="C2" s="3"/>
      <c r="D2" s="3"/>
      <c r="E2" s="5"/>
      <c r="F2" s="5"/>
      <c r="G2" s="5"/>
      <c r="H2" s="5"/>
    </row>
    <row r="3" spans="1:8" x14ac:dyDescent="0.35">
      <c r="A3" s="3" t="s">
        <v>13</v>
      </c>
      <c r="B3" s="3">
        <v>9000</v>
      </c>
      <c r="C3" s="3"/>
      <c r="D3" s="3"/>
      <c r="E3" s="5"/>
      <c r="F3" s="5"/>
      <c r="G3" s="5"/>
      <c r="H3" s="5"/>
    </row>
    <row r="4" spans="1:8" x14ac:dyDescent="0.35">
      <c r="A4" s="3"/>
      <c r="B4" s="3">
        <f>IF(B2&gt;10000, B2*0.1, B2*0.05)</f>
        <v>1200</v>
      </c>
      <c r="C4" s="3"/>
      <c r="D4" s="3"/>
      <c r="E4" s="5"/>
      <c r="F4" s="5"/>
      <c r="G4" s="5"/>
      <c r="H4" s="5"/>
    </row>
    <row r="5" spans="1:8" x14ac:dyDescent="0.35">
      <c r="A5" s="5"/>
      <c r="B5" s="5"/>
      <c r="C5" s="5"/>
      <c r="D5" s="5"/>
      <c r="E5" s="5"/>
      <c r="F5" s="5"/>
      <c r="G5" s="5"/>
      <c r="H5" s="5"/>
    </row>
    <row r="6" spans="1:8" x14ac:dyDescent="0.35">
      <c r="A6" s="5"/>
      <c r="B6" s="5"/>
      <c r="C6" s="5"/>
      <c r="D6" s="5"/>
      <c r="E6" s="5"/>
      <c r="F6" s="5"/>
      <c r="G6" s="5"/>
      <c r="H6" s="5"/>
    </row>
    <row r="7" spans="1:8" x14ac:dyDescent="0.35">
      <c r="A7" s="3" t="s">
        <v>16</v>
      </c>
      <c r="B7" s="3" t="s">
        <v>17</v>
      </c>
      <c r="C7" s="3" t="s">
        <v>18</v>
      </c>
      <c r="D7" s="4" t="s">
        <v>19</v>
      </c>
      <c r="E7" s="5"/>
      <c r="F7" s="5"/>
      <c r="G7" s="5"/>
      <c r="H7" s="5"/>
    </row>
    <row r="8" spans="1:8" x14ac:dyDescent="0.35">
      <c r="A8" s="3" t="s">
        <v>20</v>
      </c>
      <c r="B8" s="3">
        <v>20000</v>
      </c>
      <c r="C8" s="3">
        <v>18000</v>
      </c>
      <c r="D8" s="3" t="str">
        <f>IF(B8&gt;C8, "Profit", "Loss")</f>
        <v>Profit</v>
      </c>
      <c r="E8" s="5"/>
      <c r="F8" s="5"/>
      <c r="G8" s="5"/>
      <c r="H8" s="5"/>
    </row>
    <row r="9" spans="1:8" x14ac:dyDescent="0.35">
      <c r="A9" s="3" t="s">
        <v>21</v>
      </c>
      <c r="B9" s="3">
        <v>15000</v>
      </c>
      <c r="C9" s="3">
        <v>16500</v>
      </c>
      <c r="D9" s="3"/>
      <c r="E9" s="5"/>
      <c r="F9" s="5"/>
      <c r="G9" s="5"/>
      <c r="H9" s="5"/>
    </row>
    <row r="10" spans="1:8" x14ac:dyDescent="0.35">
      <c r="A10" s="5"/>
      <c r="B10" s="5"/>
      <c r="C10" s="5"/>
      <c r="D10" s="5"/>
      <c r="E10" s="5"/>
      <c r="F10" s="5"/>
      <c r="G10" s="5"/>
      <c r="H10" s="5"/>
    </row>
    <row r="11" spans="1:8" x14ac:dyDescent="0.35">
      <c r="A11" s="3" t="s">
        <v>22</v>
      </c>
      <c r="B11" s="3" t="s">
        <v>14</v>
      </c>
      <c r="C11" s="4" t="s">
        <v>26</v>
      </c>
      <c r="D11" s="3"/>
      <c r="E11" s="3"/>
      <c r="F11" s="5"/>
      <c r="G11" s="5"/>
      <c r="H11" s="5"/>
    </row>
    <row r="12" spans="1:8" x14ac:dyDescent="0.35">
      <c r="A12" s="3" t="s">
        <v>23</v>
      </c>
      <c r="B12" s="6">
        <v>12000</v>
      </c>
      <c r="C12" s="6" t="str">
        <f>IF(B12&gt;=10000, "Good", IF(B12&gt;=5000, "Average", "Poor"))</f>
        <v>Good</v>
      </c>
      <c r="D12" s="6"/>
      <c r="E12" s="3"/>
      <c r="F12" s="5"/>
      <c r="G12" s="5"/>
      <c r="H12" s="5"/>
    </row>
    <row r="13" spans="1:8" x14ac:dyDescent="0.35">
      <c r="A13" s="3" t="s">
        <v>24</v>
      </c>
      <c r="B13" s="6">
        <v>7000</v>
      </c>
      <c r="C13" s="6"/>
      <c r="D13" s="6"/>
      <c r="E13" s="3"/>
      <c r="F13" s="7" t="s">
        <v>12</v>
      </c>
      <c r="G13" s="7" t="s">
        <v>35</v>
      </c>
      <c r="H13" s="3"/>
    </row>
    <row r="14" spans="1:8" x14ac:dyDescent="0.35">
      <c r="A14" s="3" t="s">
        <v>25</v>
      </c>
      <c r="B14" s="6">
        <v>3000</v>
      </c>
      <c r="C14" s="6"/>
      <c r="D14" s="6"/>
      <c r="E14" s="3"/>
      <c r="F14" s="7" t="s">
        <v>36</v>
      </c>
      <c r="G14" s="7" t="s">
        <v>22</v>
      </c>
      <c r="H14" s="3"/>
    </row>
    <row r="15" spans="1:8" x14ac:dyDescent="0.35">
      <c r="A15" s="5"/>
      <c r="B15" s="6">
        <v>15000</v>
      </c>
      <c r="C15" s="6"/>
      <c r="D15" s="6"/>
      <c r="E15" s="5"/>
      <c r="F15" s="7" t="s">
        <v>37</v>
      </c>
      <c r="G15" s="7" t="s">
        <v>38</v>
      </c>
      <c r="H15" s="3"/>
    </row>
    <row r="16" spans="1:8" x14ac:dyDescent="0.35">
      <c r="A16" s="5"/>
      <c r="B16" s="6">
        <v>13000</v>
      </c>
      <c r="C16" s="6"/>
      <c r="D16" s="6"/>
      <c r="E16" s="5"/>
      <c r="F16" s="7" t="s">
        <v>39</v>
      </c>
      <c r="G16" s="7" t="s">
        <v>40</v>
      </c>
      <c r="H16" s="3"/>
    </row>
    <row r="17" spans="1:8" x14ac:dyDescent="0.35">
      <c r="A17" s="5"/>
      <c r="B17" s="6">
        <v>4000</v>
      </c>
      <c r="C17" s="6"/>
      <c r="D17" s="6"/>
      <c r="E17" s="5"/>
      <c r="F17" s="3"/>
      <c r="G17" s="3"/>
      <c r="H17" s="3"/>
    </row>
    <row r="18" spans="1:8" x14ac:dyDescent="0.35">
      <c r="A18" s="5"/>
      <c r="B18" s="6"/>
      <c r="C18" s="8">
        <f>MEDIAN(B12:B17)</f>
        <v>9500</v>
      </c>
      <c r="D18" s="6" t="s">
        <v>27</v>
      </c>
      <c r="E18" s="5"/>
      <c r="F18" s="3"/>
      <c r="G18" s="3"/>
      <c r="H18" s="3"/>
    </row>
    <row r="19" spans="1:8" x14ac:dyDescent="0.35">
      <c r="A19" s="5"/>
      <c r="B19" s="5"/>
      <c r="C19" s="5"/>
      <c r="D19" s="5"/>
      <c r="E19" s="5"/>
      <c r="F19" s="3"/>
      <c r="G19" s="4" t="str">
        <f>VLOOKUP("Bob", F13:G16, 2)</f>
        <v>Developer</v>
      </c>
      <c r="H19" s="3" t="s">
        <v>41</v>
      </c>
    </row>
    <row r="20" spans="1:8" x14ac:dyDescent="0.35">
      <c r="A20" s="3" t="s">
        <v>28</v>
      </c>
      <c r="B20" s="3" t="s">
        <v>32</v>
      </c>
      <c r="C20" s="3"/>
      <c r="D20" s="3"/>
      <c r="E20" s="5"/>
      <c r="F20" s="3"/>
      <c r="G20" s="3"/>
      <c r="H20" s="3"/>
    </row>
    <row r="21" spans="1:8" x14ac:dyDescent="0.35">
      <c r="A21" s="3" t="s">
        <v>33</v>
      </c>
      <c r="B21" s="3">
        <v>1000</v>
      </c>
      <c r="C21" s="3"/>
      <c r="D21" s="3"/>
      <c r="E21" s="5"/>
      <c r="F21" s="5"/>
      <c r="G21" s="5"/>
      <c r="H21" s="5"/>
    </row>
    <row r="22" spans="1:8" x14ac:dyDescent="0.35">
      <c r="A22" s="3" t="s">
        <v>29</v>
      </c>
      <c r="B22" s="3">
        <v>2000</v>
      </c>
      <c r="C22" s="3"/>
      <c r="D22" s="3"/>
      <c r="E22" s="5"/>
      <c r="F22" s="5"/>
      <c r="G22" s="5"/>
      <c r="H22" s="5"/>
    </row>
    <row r="23" spans="1:8" x14ac:dyDescent="0.35">
      <c r="A23" s="3" t="s">
        <v>30</v>
      </c>
      <c r="B23" s="3">
        <v>3000</v>
      </c>
      <c r="C23" s="3"/>
      <c r="D23" s="3"/>
      <c r="E23" s="5"/>
      <c r="F23" s="5"/>
      <c r="G23" s="5"/>
      <c r="H23" s="5"/>
    </row>
    <row r="24" spans="1:8" x14ac:dyDescent="0.35">
      <c r="A24" s="3" t="s">
        <v>33</v>
      </c>
      <c r="B24" s="3">
        <v>4000</v>
      </c>
      <c r="C24" s="3"/>
      <c r="D24" s="3"/>
      <c r="E24" s="5"/>
      <c r="F24" s="5"/>
      <c r="G24" s="5"/>
      <c r="H24" s="5"/>
    </row>
    <row r="25" spans="1:8" x14ac:dyDescent="0.35">
      <c r="A25" s="3" t="s">
        <v>31</v>
      </c>
      <c r="B25" s="3">
        <v>5000</v>
      </c>
      <c r="C25" s="3"/>
      <c r="D25" s="3"/>
      <c r="E25" s="5"/>
      <c r="F25" s="5"/>
      <c r="G25" s="5"/>
      <c r="H25" s="5"/>
    </row>
    <row r="26" spans="1:8" x14ac:dyDescent="0.35">
      <c r="A26" s="3"/>
      <c r="B26" s="4">
        <f>SUMIF(A21:A25, "north", B21:B25)</f>
        <v>5000</v>
      </c>
      <c r="C26" s="3" t="s">
        <v>34</v>
      </c>
      <c r="D26" s="3"/>
      <c r="E26" s="5"/>
      <c r="F26" s="5"/>
      <c r="G26" s="5"/>
      <c r="H26" s="5"/>
    </row>
    <row r="27" spans="1:8" x14ac:dyDescent="0.35">
      <c r="A27" s="5"/>
      <c r="B27" s="5"/>
      <c r="C27" s="5"/>
      <c r="D27" s="5"/>
      <c r="E27" s="5"/>
      <c r="F27" s="5"/>
      <c r="G27" s="5"/>
      <c r="H2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FCD1-F33F-4C2E-9455-C14112973B8B}">
  <dimension ref="A1:F40"/>
  <sheetViews>
    <sheetView tabSelected="1" topLeftCell="A25" workbookViewId="0">
      <selection activeCell="E41" sqref="E41"/>
    </sheetView>
  </sheetViews>
  <sheetFormatPr defaultRowHeight="14.5" x14ac:dyDescent="0.35"/>
  <cols>
    <col min="1" max="1" width="14.81640625" style="9" customWidth="1"/>
    <col min="2" max="2" width="18.90625" customWidth="1"/>
    <col min="3" max="3" width="26.90625" customWidth="1"/>
    <col min="4" max="4" width="18.6328125" customWidth="1"/>
    <col min="6" max="6" width="25.7265625" customWidth="1"/>
  </cols>
  <sheetData>
    <row r="1" spans="1:3" x14ac:dyDescent="0.35">
      <c r="A1" s="19" t="s">
        <v>42</v>
      </c>
      <c r="B1" s="20" t="s">
        <v>43</v>
      </c>
    </row>
    <row r="2" spans="1:3" x14ac:dyDescent="0.35">
      <c r="A2" s="13">
        <v>101</v>
      </c>
      <c r="B2" s="14" t="s">
        <v>44</v>
      </c>
    </row>
    <row r="3" spans="1:3" x14ac:dyDescent="0.35">
      <c r="A3" s="13">
        <v>102</v>
      </c>
      <c r="B3" s="14" t="s">
        <v>45</v>
      </c>
    </row>
    <row r="4" spans="1:3" x14ac:dyDescent="0.35">
      <c r="A4" s="13">
        <v>103</v>
      </c>
      <c r="B4" s="14" t="s">
        <v>46</v>
      </c>
    </row>
    <row r="5" spans="1:3" x14ac:dyDescent="0.35">
      <c r="A5" s="13">
        <v>104</v>
      </c>
      <c r="B5" s="14" t="s">
        <v>47</v>
      </c>
    </row>
    <row r="6" spans="1:3" x14ac:dyDescent="0.35">
      <c r="A6" s="15"/>
      <c r="B6" s="16"/>
    </row>
    <row r="7" spans="1:3" x14ac:dyDescent="0.35">
      <c r="A7" s="15"/>
      <c r="B7" s="16"/>
    </row>
    <row r="8" spans="1:3" x14ac:dyDescent="0.35">
      <c r="A8" s="19" t="s">
        <v>48</v>
      </c>
      <c r="B8" s="20" t="s">
        <v>49</v>
      </c>
      <c r="C8" s="5"/>
    </row>
    <row r="9" spans="1:3" x14ac:dyDescent="0.35">
      <c r="A9" s="13">
        <v>101</v>
      </c>
      <c r="B9" s="14">
        <v>15000</v>
      </c>
      <c r="C9" s="5"/>
    </row>
    <row r="10" spans="1:3" x14ac:dyDescent="0.35">
      <c r="A10" s="13">
        <v>102</v>
      </c>
      <c r="B10" s="14">
        <v>25000</v>
      </c>
      <c r="C10" s="5"/>
    </row>
    <row r="11" spans="1:3" x14ac:dyDescent="0.35">
      <c r="A11" s="13"/>
      <c r="B11" s="14"/>
      <c r="C11" s="5"/>
    </row>
    <row r="13" spans="1:3" x14ac:dyDescent="0.35">
      <c r="B13" s="2" t="str">
        <f>VLOOKUP(A3, $A$2:$B$5,2)</f>
        <v xml:space="preserve">Watch </v>
      </c>
      <c r="C13" s="12" t="s">
        <v>52</v>
      </c>
    </row>
    <row r="14" spans="1:3" x14ac:dyDescent="0.35">
      <c r="A14" s="19" t="s">
        <v>43</v>
      </c>
      <c r="B14" s="20" t="s">
        <v>50</v>
      </c>
      <c r="C14" s="20" t="s">
        <v>56</v>
      </c>
    </row>
    <row r="15" spans="1:3" x14ac:dyDescent="0.35">
      <c r="A15" s="11" t="s">
        <v>44</v>
      </c>
      <c r="B15" s="10">
        <v>500</v>
      </c>
      <c r="C15" s="17">
        <v>20</v>
      </c>
    </row>
    <row r="16" spans="1:3" x14ac:dyDescent="0.35">
      <c r="A16" s="11" t="s">
        <v>45</v>
      </c>
      <c r="B16" s="10">
        <v>300</v>
      </c>
      <c r="C16" s="17">
        <v>50</v>
      </c>
    </row>
    <row r="17" spans="1:5" x14ac:dyDescent="0.35">
      <c r="A17" s="11" t="s">
        <v>46</v>
      </c>
      <c r="B17" s="10">
        <v>400</v>
      </c>
      <c r="C17" s="17">
        <v>75</v>
      </c>
    </row>
    <row r="18" spans="1:5" x14ac:dyDescent="0.35">
      <c r="A18" s="11" t="s">
        <v>47</v>
      </c>
      <c r="B18" s="10">
        <v>100</v>
      </c>
      <c r="C18" s="17">
        <v>50</v>
      </c>
      <c r="D18" s="2">
        <f>MATCH("Stock", A14:C14, 0)</f>
        <v>3</v>
      </c>
      <c r="E18" t="s">
        <v>57</v>
      </c>
    </row>
    <row r="20" spans="1:5" x14ac:dyDescent="0.35">
      <c r="B20" s="2">
        <f>MATCH("TV", A15:A18, 0)</f>
        <v>3</v>
      </c>
      <c r="C20" s="12" t="s">
        <v>51</v>
      </c>
      <c r="D20" t="s">
        <v>53</v>
      </c>
    </row>
    <row r="21" spans="1:5" x14ac:dyDescent="0.35">
      <c r="B21" s="2">
        <f>INDEX(B15:B18, MATCH("TV", A15:A18, ))</f>
        <v>400</v>
      </c>
      <c r="C21" s="12" t="s">
        <v>54</v>
      </c>
      <c r="D21" t="s">
        <v>55</v>
      </c>
    </row>
    <row r="24" spans="1:5" x14ac:dyDescent="0.35">
      <c r="A24" s="19" t="s">
        <v>0</v>
      </c>
      <c r="B24" s="20" t="s">
        <v>64</v>
      </c>
      <c r="C24" s="20" t="s">
        <v>14</v>
      </c>
    </row>
    <row r="25" spans="1:5" x14ac:dyDescent="0.35">
      <c r="A25" s="21" t="s">
        <v>58</v>
      </c>
      <c r="B25" s="21" t="s">
        <v>33</v>
      </c>
      <c r="C25" s="22">
        <v>10000</v>
      </c>
    </row>
    <row r="26" spans="1:5" x14ac:dyDescent="0.35">
      <c r="A26" s="21" t="s">
        <v>59</v>
      </c>
      <c r="B26" s="21" t="s">
        <v>60</v>
      </c>
      <c r="C26" s="22">
        <v>8500</v>
      </c>
    </row>
    <row r="27" spans="1:5" x14ac:dyDescent="0.35">
      <c r="A27" s="21" t="s">
        <v>61</v>
      </c>
      <c r="B27" s="21" t="s">
        <v>62</v>
      </c>
      <c r="C27" s="22">
        <v>7200</v>
      </c>
    </row>
    <row r="28" spans="1:5" x14ac:dyDescent="0.35">
      <c r="A28" s="21" t="s">
        <v>58</v>
      </c>
      <c r="B28" s="21" t="s">
        <v>63</v>
      </c>
      <c r="C28" s="22">
        <v>9000</v>
      </c>
    </row>
    <row r="29" spans="1:5" x14ac:dyDescent="0.35">
      <c r="B29" s="18"/>
    </row>
    <row r="30" spans="1:5" x14ac:dyDescent="0.35">
      <c r="C30" s="2" cm="1">
        <f t="array" ref="C30">MATCH(1, (A25:A28="Laptop")*(B25:B28="West"), 0)</f>
        <v>4</v>
      </c>
      <c r="D30" s="12" t="s">
        <v>65</v>
      </c>
      <c r="E30" t="s">
        <v>66</v>
      </c>
    </row>
    <row r="33" spans="1:6" x14ac:dyDescent="0.35">
      <c r="A33" s="23" t="s">
        <v>67</v>
      </c>
      <c r="B33" s="23" t="s">
        <v>33</v>
      </c>
      <c r="C33" s="23" t="s">
        <v>60</v>
      </c>
      <c r="D33" s="23" t="s">
        <v>62</v>
      </c>
      <c r="E33" s="23" t="s">
        <v>63</v>
      </c>
    </row>
    <row r="34" spans="1:6" x14ac:dyDescent="0.35">
      <c r="A34" s="24" t="s">
        <v>58</v>
      </c>
      <c r="B34" s="25">
        <v>10000</v>
      </c>
      <c r="C34" s="25">
        <v>8500</v>
      </c>
      <c r="D34" s="25">
        <v>9200</v>
      </c>
      <c r="E34" s="25">
        <v>7500</v>
      </c>
    </row>
    <row r="35" spans="1:6" x14ac:dyDescent="0.35">
      <c r="A35" s="24" t="s">
        <v>59</v>
      </c>
      <c r="B35" s="25">
        <v>12000</v>
      </c>
      <c r="C35" s="25">
        <v>10000</v>
      </c>
      <c r="D35" s="25">
        <v>11500</v>
      </c>
      <c r="E35" s="25">
        <v>9000</v>
      </c>
    </row>
    <row r="36" spans="1:6" x14ac:dyDescent="0.35">
      <c r="A36" s="24" t="s">
        <v>61</v>
      </c>
      <c r="B36" s="25">
        <v>8000</v>
      </c>
      <c r="C36" s="25">
        <v>7200</v>
      </c>
      <c r="D36" s="25">
        <v>8300</v>
      </c>
      <c r="E36" s="25">
        <v>6500</v>
      </c>
    </row>
    <row r="37" spans="1:6" x14ac:dyDescent="0.35">
      <c r="A37" s="24" t="s">
        <v>68</v>
      </c>
      <c r="B37" s="25">
        <v>6000</v>
      </c>
      <c r="C37" s="25">
        <v>5500</v>
      </c>
      <c r="D37" s="25">
        <v>6800</v>
      </c>
      <c r="E37" s="25">
        <v>4500</v>
      </c>
    </row>
    <row r="38" spans="1:6" x14ac:dyDescent="0.35">
      <c r="A38" s="26"/>
      <c r="B38" s="27"/>
      <c r="C38" s="27"/>
      <c r="D38" s="27"/>
      <c r="E38" s="27"/>
    </row>
    <row r="40" spans="1:6" x14ac:dyDescent="0.35">
      <c r="E40" s="2">
        <f>INDEX(A34:E37, 2, 4)</f>
        <v>11500</v>
      </c>
      <c r="F40" s="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Bhavani</dc:creator>
  <cp:lastModifiedBy>Durga Bhavani</cp:lastModifiedBy>
  <dcterms:created xsi:type="dcterms:W3CDTF">2024-09-10T10:33:47Z</dcterms:created>
  <dcterms:modified xsi:type="dcterms:W3CDTF">2025-11-21T08:26:41Z</dcterms:modified>
</cp:coreProperties>
</file>